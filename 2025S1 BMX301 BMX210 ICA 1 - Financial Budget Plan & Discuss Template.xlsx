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mymailnypedu.sharepoint.com/sites/NYPSBMDBFSection/Shared Documents/General/Academic Matters/AY2025S1/Module Assessment &amp; Solutions (for moderation)/BMX301 BMX210 Be Financially Intelligent!/ICA1/"/>
    </mc:Choice>
  </mc:AlternateContent>
  <xr:revisionPtr revIDLastSave="26" documentId="8_{EAE6FDDC-AF93-4843-8401-8CEFFCE12316}" xr6:coauthVersionLast="47" xr6:coauthVersionMax="47" xr10:uidLastSave="{DDCE002A-CB1B-4EEE-82F8-A09EB8F64B7A}"/>
  <bookViews>
    <workbookView xWindow="-98" yWindow="-98" windowWidth="21795" windowHeight="12975" xr2:uid="{00000000-000D-0000-FFFF-FFFF00000000}"/>
  </bookViews>
  <sheets>
    <sheet name="Financial Budget" sheetId="2" r:id="rId1"/>
    <sheet name="Plan &amp; Discuss" sheetId="3" r:id="rId2"/>
  </sheets>
  <definedNames>
    <definedName name="_xlnm.Print_Area" localSheetId="0">'Financial Budget'!$A$1:$F$45</definedName>
    <definedName name="_xlnm.Print_Area" localSheetId="1">'Plan &amp; Discuss'!$A$1:$K$26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2" l="1"/>
  <c r="B42" i="2" l="1"/>
  <c r="B44" i="2" s="1"/>
</calcChain>
</file>

<file path=xl/sharedStrings.xml><?xml version="1.0" encoding="utf-8"?>
<sst xmlns="http://schemas.openxmlformats.org/spreadsheetml/2006/main" count="46" uniqueCount="44">
  <si>
    <r>
      <t xml:space="preserve">Note: You may customise the 'Others' field depending on your needs and lifestyle.
You may also leave budget fields empty for respective items that may not apply to you.
Note: Budget planning is base on a </t>
    </r>
    <r>
      <rPr>
        <b/>
        <sz val="11"/>
        <color rgb="FFFF0000"/>
        <rFont val="Calibri"/>
        <family val="2"/>
        <scheme val="minor"/>
      </rPr>
      <t>Monthly</t>
    </r>
    <r>
      <rPr>
        <b/>
        <sz val="11"/>
        <color theme="1"/>
        <rFont val="Calibri"/>
        <family val="2"/>
        <scheme val="minor"/>
      </rPr>
      <t xml:space="preserve"> basis.</t>
    </r>
  </si>
  <si>
    <t>ICA 1 BUDGET TEMPLATE (Update the fields in column 'B' )</t>
  </si>
  <si>
    <t>Budget</t>
  </si>
  <si>
    <t>Gross Monthly Income</t>
  </si>
  <si>
    <t>Monthly Salary</t>
  </si>
  <si>
    <t>Others: Investment Income, Part-time Job (if applicable)</t>
  </si>
  <si>
    <t>Fixed Expenses</t>
  </si>
  <si>
    <t>CPF Contribution (20% cap at first $6,800)</t>
  </si>
  <si>
    <t>Allowances for Parents</t>
  </si>
  <si>
    <t>Allowances for Children</t>
  </si>
  <si>
    <t>Personal Savings</t>
  </si>
  <si>
    <t>Mortgage Repayment (cash)/Rental Payment</t>
  </si>
  <si>
    <t>Conservancy and Property Taxes</t>
  </si>
  <si>
    <t>Insurance</t>
  </si>
  <si>
    <t>Income tax</t>
  </si>
  <si>
    <t>* Use IRAS income tax calculator (Google it)</t>
  </si>
  <si>
    <t>Children's Education</t>
  </si>
  <si>
    <t>Personal Loan Repayment</t>
  </si>
  <si>
    <t>Others (Please state) -</t>
  </si>
  <si>
    <t>Food and Health</t>
  </si>
  <si>
    <t>Groceries</t>
  </si>
  <si>
    <t>Eating out</t>
  </si>
  <si>
    <t>Health and medical</t>
  </si>
  <si>
    <t xml:space="preserve">Others (Please state) - </t>
  </si>
  <si>
    <t>Lifestyle</t>
  </si>
  <si>
    <t>Tour and family outings</t>
  </si>
  <si>
    <t>Entertainment</t>
  </si>
  <si>
    <t>Hobbies and sports</t>
  </si>
  <si>
    <t>Clothing and personal maintenance</t>
  </si>
  <si>
    <t>Transport</t>
  </si>
  <si>
    <t>Car Loan (Monthly Repayments)</t>
  </si>
  <si>
    <t>Vehicle Insurance and Road Tax</t>
  </si>
  <si>
    <t>Car Park Fees</t>
  </si>
  <si>
    <t>Petrol and Maintenance Expenses</t>
  </si>
  <si>
    <t>Public Transport</t>
  </si>
  <si>
    <t>Utilities and Communication</t>
  </si>
  <si>
    <t>Utilities Bills</t>
  </si>
  <si>
    <t>Mobile Phone</t>
  </si>
  <si>
    <t>Internet</t>
  </si>
  <si>
    <t>Total Expenses</t>
  </si>
  <si>
    <t>Net Cash Flow</t>
  </si>
  <si>
    <t xml:space="preserve">Please complete your Reflection using the tab here </t>
  </si>
  <si>
    <t>Set TWO (2) personal financial goals based on your financial budget created in ICA 1: Part 1. Discuss how you will work towards achieving your goals. Describe the active steps you can take to achieve your financial goals.</t>
  </si>
  <si>
    <t>(No longer than 500 words)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</si>
</sst>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_-&quot;$&quot;* #,##0_-;\-&quot;$&quot;* #,##0_-;_-&quot;$&quot;* &quot;-&quot;??_-;_-@_-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.2"/>
      <color rgb="FF000000"/>
      <name val="Calibri"/>
      <family val="2"/>
      <scheme val="minor"/>
    </font>
    <font>
      <sz val="13.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212121"/>
      <name val="Segoe UI"/>
      <family val="2"/>
    </font>
    <font>
      <sz val="9"/>
      <color rgb="FF0000FF"/>
      <name val="Inherit"/>
    </font>
    <font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/>
      <right style="dotted">
        <color rgb="FFA8AA9D"/>
      </right>
      <top/>
      <bottom/>
      <diagonal/>
    </border>
    <border>
      <left/>
      <right/>
      <top/>
      <bottom style="dotted">
        <color rgb="FFA8AA9D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3" borderId="0" xfId="0" applyFill="1"/>
    <xf numFmtId="164" fontId="6" fillId="6" borderId="0" xfId="1" applyNumberFormat="1" applyFont="1" applyFill="1" applyProtection="1"/>
    <xf numFmtId="0" fontId="5" fillId="5" borderId="2" xfId="0" applyFont="1" applyFill="1" applyBorder="1" applyAlignment="1">
      <alignment horizontal="left" vertical="top" wrapText="1" indent="3"/>
    </xf>
    <xf numFmtId="164" fontId="6" fillId="3" borderId="0" xfId="1" applyNumberFormat="1" applyFont="1" applyFill="1" applyProtection="1"/>
    <xf numFmtId="0" fontId="6" fillId="3" borderId="0" xfId="0" applyFont="1" applyFill="1"/>
    <xf numFmtId="0" fontId="4" fillId="4" borderId="2" xfId="0" applyFont="1" applyFill="1" applyBorder="1" applyAlignment="1">
      <alignment horizontal="left" vertical="top" wrapText="1"/>
    </xf>
    <xf numFmtId="164" fontId="6" fillId="3" borderId="4" xfId="1" applyNumberFormat="1" applyFont="1" applyFill="1" applyBorder="1" applyProtection="1"/>
    <xf numFmtId="164" fontId="2" fillId="3" borderId="4" xfId="1" applyNumberFormat="1" applyFont="1" applyFill="1" applyBorder="1" applyProtection="1"/>
    <xf numFmtId="164" fontId="0" fillId="3" borderId="0" xfId="1" applyNumberFormat="1" applyFont="1" applyFill="1" applyProtection="1"/>
    <xf numFmtId="0" fontId="2" fillId="3" borderId="0" xfId="0" applyFont="1" applyFill="1"/>
    <xf numFmtId="0" fontId="3" fillId="2" borderId="0" xfId="0" applyFont="1" applyFill="1"/>
    <xf numFmtId="0" fontId="2" fillId="6" borderId="3" xfId="0" applyFont="1" applyFill="1" applyBorder="1"/>
    <xf numFmtId="164" fontId="2" fillId="6" borderId="3" xfId="1" applyNumberFormat="1" applyFont="1" applyFill="1" applyBorder="1" applyProtection="1"/>
    <xf numFmtId="0" fontId="4" fillId="4" borderId="1" xfId="0" applyFont="1" applyFill="1" applyBorder="1" applyAlignment="1">
      <alignment horizontal="left" vertical="top" wrapText="1"/>
    </xf>
    <xf numFmtId="0" fontId="7" fillId="3" borderId="0" xfId="0" applyFont="1" applyFill="1"/>
    <xf numFmtId="0" fontId="8" fillId="0" borderId="0" xfId="0" applyFont="1"/>
    <xf numFmtId="0" fontId="9" fillId="0" borderId="0" xfId="0" applyFont="1" applyAlignment="1">
      <alignment horizontal="left" vertical="center" indent="1"/>
    </xf>
    <xf numFmtId="0" fontId="3" fillId="2" borderId="0" xfId="0" applyFont="1" applyFill="1" applyAlignment="1">
      <alignment wrapText="1"/>
    </xf>
    <xf numFmtId="0" fontId="10" fillId="3" borderId="0" xfId="0" applyFont="1" applyFill="1"/>
    <xf numFmtId="0" fontId="6" fillId="3" borderId="0" xfId="0" applyFont="1" applyFill="1" applyAlignment="1">
      <alignment wrapText="1"/>
    </xf>
    <xf numFmtId="0" fontId="0" fillId="0" borderId="0" xfId="0"/>
    <xf numFmtId="0" fontId="7" fillId="3" borderId="0" xfId="0" applyFont="1" applyFill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2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right"/>
    </xf>
    <xf numFmtId="0" fontId="0" fillId="3" borderId="0" xfId="0" applyFill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-47625</xdr:colOff>
      <xdr:row>0</xdr:row>
      <xdr:rowOff>-704850</xdr:rowOff>
    </xdr:from>
    <xdr:to>
      <xdr:col>0</xdr:col>
      <xdr:colOff>-47625</xdr:colOff>
      <xdr:row>0</xdr:row>
      <xdr:rowOff>-704850</xdr:rowOff>
    </xdr:to>
    <xdr:sp macro="" textlink="">
      <xdr:nvSpPr>
        <xdr:cNvPr id="2" name="Arrow: Down 1">
          <a:extLst>
            <a:ext uri="{FF2B5EF4-FFF2-40B4-BE49-F238E27FC236}">
              <a16:creationId xmlns:a16="http://schemas.microsoft.com/office/drawing/2014/main" id="{7548946E-3256-4F60-A62E-DAFE7FAA423F}"/>
            </a:ext>
          </a:extLst>
        </xdr:cNvPr>
        <xdr:cNvSpPr/>
      </xdr:nvSpPr>
      <xdr:spPr>
        <a:xfrm>
          <a:off x="-47625" y="-704850"/>
          <a:ext cx="0" cy="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SG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38101</xdr:colOff>
      <xdr:row>2</xdr:row>
      <xdr:rowOff>19051</xdr:rowOff>
    </xdr:from>
    <xdr:to>
      <xdr:col>10</xdr:col>
      <xdr:colOff>504825</xdr:colOff>
      <xdr:row>25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C462AC-B890-4CC4-BB01-6B4D66F1B2A0}"/>
            </a:ext>
          </a:extLst>
        </xdr:cNvPr>
        <xdr:cNvSpPr txBox="1"/>
      </xdr:nvSpPr>
      <xdr:spPr>
        <a:xfrm>
          <a:off x="38101" y="400051"/>
          <a:ext cx="6696074" cy="4152899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endParaRPr lang="en-US" sz="1200" b="0">
            <a:solidFill>
              <a:schemeClr val="dk1"/>
            </a:solidFill>
            <a:latin typeface="+mn-lt"/>
            <a:ea typeface="+mn-lt"/>
            <a:cs typeface="+mn-lt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6"/>
  <sheetViews>
    <sheetView tabSelected="1" zoomScaleNormal="100" workbookViewId="0">
      <selection activeCell="B8" sqref="B8"/>
    </sheetView>
  </sheetViews>
  <sheetFormatPr defaultColWidth="8.86328125" defaultRowHeight="14.25"/>
  <cols>
    <col min="1" max="1" width="57" style="1" customWidth="1"/>
    <col min="2" max="2" width="10.59765625" style="9" bestFit="1" customWidth="1"/>
    <col min="3" max="16384" width="8.86328125" style="1"/>
  </cols>
  <sheetData>
    <row r="1" spans="1:4" ht="42.6" customHeight="1">
      <c r="A1" s="22" t="s">
        <v>0</v>
      </c>
      <c r="B1" s="23"/>
      <c r="C1" s="21"/>
    </row>
    <row r="2" spans="1:4" ht="16.149999999999999" thickBot="1">
      <c r="A2" s="12" t="s">
        <v>1</v>
      </c>
      <c r="B2" s="13" t="s">
        <v>2</v>
      </c>
      <c r="C2" s="5"/>
    </row>
    <row r="3" spans="1:4" ht="16.899999999999999">
      <c r="A3" s="14" t="s">
        <v>3</v>
      </c>
      <c r="B3" s="4"/>
      <c r="C3" s="5"/>
    </row>
    <row r="4" spans="1:4" ht="16.899999999999999">
      <c r="A4" s="11" t="s">
        <v>4</v>
      </c>
      <c r="B4" s="2">
        <v>5000</v>
      </c>
      <c r="C4" s="5"/>
    </row>
    <row r="5" spans="1:4" ht="16.899999999999999">
      <c r="A5" s="18" t="s">
        <v>5</v>
      </c>
      <c r="B5" s="2">
        <v>0</v>
      </c>
      <c r="C5" s="5"/>
    </row>
    <row r="6" spans="1:4" ht="15.75">
      <c r="B6" s="4"/>
      <c r="C6" s="5"/>
    </row>
    <row r="7" spans="1:4" ht="16.899999999999999">
      <c r="A7" s="6" t="s">
        <v>6</v>
      </c>
      <c r="B7" s="4"/>
      <c r="C7" s="10"/>
      <c r="D7" s="15"/>
    </row>
    <row r="8" spans="1:4" ht="16.899999999999999">
      <c r="A8" s="3" t="s">
        <v>7</v>
      </c>
      <c r="B8" s="2">
        <f>MIN(6800*0.2,B4*0.2)</f>
        <v>1000</v>
      </c>
      <c r="C8" s="5"/>
      <c r="D8" s="15"/>
    </row>
    <row r="9" spans="1:4" ht="16.899999999999999">
      <c r="A9" s="3" t="s">
        <v>8</v>
      </c>
      <c r="B9" s="2">
        <v>0</v>
      </c>
      <c r="C9" s="5"/>
    </row>
    <row r="10" spans="1:4" ht="16.899999999999999" hidden="1">
      <c r="A10" s="3" t="s">
        <v>9</v>
      </c>
      <c r="B10" s="2">
        <v>0</v>
      </c>
      <c r="C10" s="5"/>
    </row>
    <row r="11" spans="1:4" ht="16.899999999999999">
      <c r="A11" s="3" t="s">
        <v>10</v>
      </c>
      <c r="B11" s="2">
        <v>0</v>
      </c>
      <c r="C11" s="5"/>
    </row>
    <row r="12" spans="1:4" ht="16.899999999999999">
      <c r="A12" s="3" t="s">
        <v>11</v>
      </c>
      <c r="B12" s="2">
        <v>0</v>
      </c>
      <c r="C12" s="5"/>
    </row>
    <row r="13" spans="1:4" ht="16.899999999999999" hidden="1">
      <c r="A13" s="3" t="s">
        <v>12</v>
      </c>
      <c r="B13" s="2">
        <v>0</v>
      </c>
      <c r="C13" s="5"/>
    </row>
    <row r="14" spans="1:4" ht="16.899999999999999">
      <c r="A14" s="3" t="s">
        <v>13</v>
      </c>
      <c r="B14" s="2">
        <v>0</v>
      </c>
      <c r="C14" s="5"/>
    </row>
    <row r="15" spans="1:4" ht="16.899999999999999">
      <c r="A15" s="3" t="s">
        <v>14</v>
      </c>
      <c r="B15" s="2">
        <v>0</v>
      </c>
      <c r="C15" s="19" t="s">
        <v>15</v>
      </c>
    </row>
    <row r="16" spans="1:4" ht="16.899999999999999" hidden="1">
      <c r="A16" s="3" t="s">
        <v>16</v>
      </c>
      <c r="B16" s="2">
        <v>0</v>
      </c>
      <c r="C16" s="5"/>
    </row>
    <row r="17" spans="1:3" ht="16.899999999999999">
      <c r="A17" s="3" t="s">
        <v>17</v>
      </c>
      <c r="B17" s="2">
        <v>0</v>
      </c>
      <c r="C17" s="5"/>
    </row>
    <row r="18" spans="1:3" ht="16.899999999999999">
      <c r="A18" s="3" t="s">
        <v>18</v>
      </c>
      <c r="B18" s="2">
        <v>0</v>
      </c>
      <c r="C18" s="5"/>
    </row>
    <row r="19" spans="1:3" ht="16.899999999999999">
      <c r="A19" s="6" t="s">
        <v>19</v>
      </c>
      <c r="B19" s="4"/>
      <c r="C19" s="5"/>
    </row>
    <row r="20" spans="1:3" ht="16.899999999999999">
      <c r="A20" s="3" t="s">
        <v>20</v>
      </c>
      <c r="B20" s="2">
        <v>0</v>
      </c>
      <c r="C20" s="5"/>
    </row>
    <row r="21" spans="1:3" ht="16.899999999999999">
      <c r="A21" s="3" t="s">
        <v>21</v>
      </c>
      <c r="B21" s="2">
        <v>0</v>
      </c>
      <c r="C21" s="5"/>
    </row>
    <row r="22" spans="1:3" ht="16.899999999999999">
      <c r="A22" s="3" t="s">
        <v>22</v>
      </c>
      <c r="B22" s="2">
        <v>0</v>
      </c>
      <c r="C22" s="5"/>
    </row>
    <row r="23" spans="1:3" ht="16.899999999999999">
      <c r="A23" s="3" t="s">
        <v>23</v>
      </c>
      <c r="B23" s="2">
        <v>0</v>
      </c>
      <c r="C23" s="5"/>
    </row>
    <row r="24" spans="1:3" ht="16.899999999999999">
      <c r="A24" s="6" t="s">
        <v>24</v>
      </c>
      <c r="B24" s="4"/>
      <c r="C24" s="5"/>
    </row>
    <row r="25" spans="1:3" ht="16.899999999999999">
      <c r="A25" s="3" t="s">
        <v>25</v>
      </c>
      <c r="B25" s="2">
        <v>0</v>
      </c>
      <c r="C25" s="5"/>
    </row>
    <row r="26" spans="1:3" ht="16.899999999999999">
      <c r="A26" s="3" t="s">
        <v>26</v>
      </c>
      <c r="B26" s="2">
        <v>0</v>
      </c>
      <c r="C26" s="5"/>
    </row>
    <row r="27" spans="1:3" ht="16.899999999999999">
      <c r="A27" s="3" t="s">
        <v>27</v>
      </c>
      <c r="B27" s="2">
        <v>0</v>
      </c>
      <c r="C27" s="5"/>
    </row>
    <row r="28" spans="1:3" ht="16.899999999999999">
      <c r="A28" s="3" t="s">
        <v>28</v>
      </c>
      <c r="B28" s="2">
        <v>0</v>
      </c>
      <c r="C28" s="5"/>
    </row>
    <row r="29" spans="1:3" ht="16.899999999999999">
      <c r="A29" s="3" t="s">
        <v>23</v>
      </c>
      <c r="B29" s="2">
        <v>0</v>
      </c>
      <c r="C29" s="5"/>
    </row>
    <row r="30" spans="1:3" ht="16.899999999999999">
      <c r="A30" s="6" t="s">
        <v>29</v>
      </c>
      <c r="B30" s="4"/>
      <c r="C30" s="5"/>
    </row>
    <row r="31" spans="1:3" ht="16.899999999999999">
      <c r="A31" s="3" t="s">
        <v>30</v>
      </c>
      <c r="B31" s="2">
        <v>0</v>
      </c>
      <c r="C31" s="5"/>
    </row>
    <row r="32" spans="1:3" ht="16.899999999999999">
      <c r="A32" s="3" t="s">
        <v>31</v>
      </c>
      <c r="B32" s="2">
        <v>0</v>
      </c>
      <c r="C32" s="5"/>
    </row>
    <row r="33" spans="1:6" ht="16.899999999999999">
      <c r="A33" s="3" t="s">
        <v>32</v>
      </c>
      <c r="B33" s="2">
        <v>0</v>
      </c>
      <c r="C33" s="5"/>
    </row>
    <row r="34" spans="1:6" ht="16.899999999999999">
      <c r="A34" s="3" t="s">
        <v>33</v>
      </c>
      <c r="B34" s="2">
        <v>0</v>
      </c>
      <c r="C34" s="5"/>
    </row>
    <row r="35" spans="1:6" ht="16.899999999999999">
      <c r="A35" s="3" t="s">
        <v>34</v>
      </c>
      <c r="B35" s="2">
        <v>0</v>
      </c>
      <c r="C35" s="5"/>
    </row>
    <row r="36" spans="1:6" ht="16.899999999999999">
      <c r="A36" s="6" t="s">
        <v>35</v>
      </c>
      <c r="B36" s="4"/>
      <c r="C36" s="5"/>
    </row>
    <row r="37" spans="1:6" ht="16.899999999999999">
      <c r="A37" s="3" t="s">
        <v>36</v>
      </c>
      <c r="B37" s="2">
        <v>0</v>
      </c>
      <c r="C37" s="5"/>
    </row>
    <row r="38" spans="1:6" ht="16.899999999999999">
      <c r="A38" s="3" t="s">
        <v>37</v>
      </c>
      <c r="B38" s="2">
        <v>0</v>
      </c>
      <c r="C38" s="5"/>
    </row>
    <row r="39" spans="1:6" ht="16.899999999999999">
      <c r="A39" s="3" t="s">
        <v>38</v>
      </c>
      <c r="B39" s="2">
        <v>0</v>
      </c>
      <c r="C39" s="5"/>
    </row>
    <row r="40" spans="1:6" ht="33.6" customHeight="1">
      <c r="A40" s="3" t="s">
        <v>23</v>
      </c>
      <c r="B40" s="2">
        <v>0</v>
      </c>
      <c r="C40" s="20"/>
      <c r="D40" s="21"/>
      <c r="E40" s="21"/>
      <c r="F40" s="21"/>
    </row>
    <row r="41" spans="1:6" ht="16.149999999999999" thickBot="1">
      <c r="B41" s="4"/>
      <c r="C41" s="5"/>
    </row>
    <row r="42" spans="1:6" ht="17.25" thickBot="1">
      <c r="A42" s="6" t="s">
        <v>39</v>
      </c>
      <c r="B42" s="7">
        <f>SUM(B8:B40)</f>
        <v>1000</v>
      </c>
      <c r="C42" s="5"/>
    </row>
    <row r="43" spans="1:6" ht="16.149999999999999" thickBot="1">
      <c r="B43" s="4"/>
      <c r="C43" s="5"/>
    </row>
    <row r="44" spans="1:6" ht="17.25" thickBot="1">
      <c r="A44" s="6" t="s">
        <v>40</v>
      </c>
      <c r="B44" s="8">
        <f>SUM(B4:B5)-B42</f>
        <v>4000</v>
      </c>
      <c r="C44" s="5"/>
    </row>
    <row r="46" spans="1:6">
      <c r="A46" s="1" t="s">
        <v>41</v>
      </c>
    </row>
  </sheetData>
  <mergeCells count="2">
    <mergeCell ref="C40:F40"/>
    <mergeCell ref="A1:C1"/>
  </mergeCells>
  <pageMargins left="0.7" right="0.7" top="0.75" bottom="0.75" header="0.3" footer="0.3"/>
  <pageSetup paperSize="9" scale="78" orientation="portrait" r:id="rId1"/>
  <headerFooter>
    <oddHeader>&amp;L&amp;"Calibri"&amp;10&amp;K000000Official (Closed) and Sensitive-Normal&amp;1#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B3803-E09F-4511-B492-C2726E5E0740}">
  <sheetPr>
    <tabColor rgb="FFFFFF00"/>
  </sheetPr>
  <dimension ref="A2:K34"/>
  <sheetViews>
    <sheetView zoomScaleNormal="100" workbookViewId="0">
      <selection activeCell="M16" sqref="M16"/>
    </sheetView>
  </sheetViews>
  <sheetFormatPr defaultColWidth="8.86328125" defaultRowHeight="14.25"/>
  <cols>
    <col min="1" max="1" width="36.59765625" style="1" bestFit="1" customWidth="1"/>
    <col min="2" max="5" width="8.86328125" style="1"/>
    <col min="6" max="6" width="9.3984375" style="1" bestFit="1" customWidth="1"/>
    <col min="7" max="10" width="8.86328125" style="1"/>
    <col min="11" max="11" width="7.265625" style="1" customWidth="1"/>
    <col min="12" max="16384" width="8.86328125" style="1"/>
  </cols>
  <sheetData>
    <row r="2" spans="1:11" ht="43.5" customHeight="1">
      <c r="A2" s="24" t="s">
        <v>42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26" spans="1:11">
      <c r="A26" s="25" t="s">
        <v>43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</row>
    <row r="34" spans="1:6" ht="15.4">
      <c r="A34" s="16"/>
      <c r="F34" s="17"/>
    </row>
  </sheetData>
  <sheetProtection selectLockedCells="1" selectUnlockedCells="1"/>
  <mergeCells count="2">
    <mergeCell ref="A2:K2"/>
    <mergeCell ref="A26:K26"/>
  </mergeCells>
  <pageMargins left="0.7" right="0.7" top="0.75" bottom="0.75" header="0.3" footer="0.3"/>
  <pageSetup scale="87" orientation="portrait" horizontalDpi="1200" verticalDpi="1200" r:id="rId1"/>
  <headerFooter>
    <oddHeader>&amp;L&amp;"Calibri"&amp;10&amp;K000000Official (Closed) and Sensitive-Normal&amp;1#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7D97D1057B774D9C115C711732B3B8" ma:contentTypeVersion="17" ma:contentTypeDescription="Create a new document." ma:contentTypeScope="" ma:versionID="7b5d6030c6e66ede51866716f811336d">
  <xsd:schema xmlns:xsd="http://www.w3.org/2001/XMLSchema" xmlns:xs="http://www.w3.org/2001/XMLSchema" xmlns:p="http://schemas.microsoft.com/office/2006/metadata/properties" xmlns:ns2="361cb9ca-84e0-4a6a-ae35-46d03ba23642" xmlns:ns3="e2e553aa-6855-4cf1-a20f-023be1680ca0" targetNamespace="http://schemas.microsoft.com/office/2006/metadata/properties" ma:root="true" ma:fieldsID="fb850cba37c2e4167e80bced1af80b0d" ns2:_="" ns3:_="">
    <xsd:import namespace="361cb9ca-84e0-4a6a-ae35-46d03ba23642"/>
    <xsd:import namespace="e2e553aa-6855-4cf1-a20f-023be1680c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cb9ca-84e0-4a6a-ae35-46d03ba236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58e8660-d7f0-40dc-9355-39c17cfe3e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e553aa-6855-4cf1-a20f-023be1680ca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3657a62-a007-4654-8f82-04c878e0c220}" ma:internalName="TaxCatchAll" ma:showField="CatchAllData" ma:web="e2e553aa-6855-4cf1-a20f-023be1680c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61cb9ca-84e0-4a6a-ae35-46d03ba23642">
      <Terms xmlns="http://schemas.microsoft.com/office/infopath/2007/PartnerControls"/>
    </lcf76f155ced4ddcb4097134ff3c332f>
    <TaxCatchAll xmlns="e2e553aa-6855-4cf1-a20f-023be1680ca0" xsi:nil="true"/>
  </documentManagement>
</p:properties>
</file>

<file path=customXml/itemProps1.xml><?xml version="1.0" encoding="utf-8"?>
<ds:datastoreItem xmlns:ds="http://schemas.openxmlformats.org/officeDocument/2006/customXml" ds:itemID="{94BD6498-FFBE-4EB4-A50E-D0B6832712E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9528189-EC69-43E2-A755-F8E70CF28B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1cb9ca-84e0-4a6a-ae35-46d03ba23642"/>
    <ds:schemaRef ds:uri="e2e553aa-6855-4cf1-a20f-023be1680c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0693991-0877-4F59-BD1B-A03910840098}">
  <ds:schemaRefs>
    <ds:schemaRef ds:uri="http://www.w3.org/XML/1998/namespace"/>
    <ds:schemaRef ds:uri="http://schemas.microsoft.com/office/2006/metadata/properties"/>
    <ds:schemaRef ds:uri="http://purl.org/dc/elements/1.1/"/>
    <ds:schemaRef ds:uri="http://purl.org/dc/dcmitype/"/>
    <ds:schemaRef ds:uri="e2e553aa-6855-4cf1-a20f-023be1680ca0"/>
    <ds:schemaRef ds:uri="http://purl.org/dc/terms/"/>
    <ds:schemaRef ds:uri="http://schemas.microsoft.com/office/2006/documentManagement/types"/>
    <ds:schemaRef ds:uri="361cb9ca-84e0-4a6a-ae35-46d03ba23642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Financial Budget</vt:lpstr>
      <vt:lpstr>Plan &amp; Discuss</vt:lpstr>
      <vt:lpstr>'Financial Budget'!Print_Area</vt:lpstr>
      <vt:lpstr>'Plan &amp; Discuss'!Print_Area</vt:lpstr>
    </vt:vector>
  </TitlesOfParts>
  <Manager/>
  <Company>Nanyang Polytechnic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SUN JUDE</dc:creator>
  <cp:keywords/>
  <dc:description/>
  <cp:lastModifiedBy>Emily PHOON (NYP)</cp:lastModifiedBy>
  <cp:revision/>
  <dcterms:created xsi:type="dcterms:W3CDTF">2018-03-09T03:06:37Z</dcterms:created>
  <dcterms:modified xsi:type="dcterms:W3CDTF">2025-03-19T02:03:53Z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0x010100AB7D97D1057B774D9C115C711732B3B8</vt:lpwstr>
  </property>
  <property fmtid="{D5CDD505-2E9C-101B-9397-08002B2CF9AE}" pid="3" name="MSIP_Label_990b6c4a-2c3e-4e80-8213-aa7256d4441d_Enabled">
    <vt:lpwstr>true</vt:lpwstr>
  </property>
  <property fmtid="{D5CDD505-2E9C-101B-9397-08002B2CF9AE}" pid="4" name="MSIP_Label_990b6c4a-2c3e-4e80-8213-aa7256d4441d_SetDate">
    <vt:lpwstr>2023-04-19T01:56:17Z</vt:lpwstr>
  </property>
  <property fmtid="{D5CDD505-2E9C-101B-9397-08002B2CF9AE}" pid="5" name="MSIP_Label_990b6c4a-2c3e-4e80-8213-aa7256d4441d_Method">
    <vt:lpwstr>Privileged</vt:lpwstr>
  </property>
  <property fmtid="{D5CDD505-2E9C-101B-9397-08002B2CF9AE}" pid="6" name="MSIP_Label_990b6c4a-2c3e-4e80-8213-aa7256d4441d_Name">
    <vt:lpwstr>SENSITIVE-NORMAL_0</vt:lpwstr>
  </property>
  <property fmtid="{D5CDD505-2E9C-101B-9397-08002B2CF9AE}" pid="7" name="MSIP_Label_990b6c4a-2c3e-4e80-8213-aa7256d4441d_SiteId">
    <vt:lpwstr>243ebaed-00d0-4690-a7dc-75893b0d9f98</vt:lpwstr>
  </property>
  <property fmtid="{D5CDD505-2E9C-101B-9397-08002B2CF9AE}" pid="8" name="MSIP_Label_990b6c4a-2c3e-4e80-8213-aa7256d4441d_ActionId">
    <vt:lpwstr>05d2fb2c-b891-43e6-a91f-e7c150df76f8</vt:lpwstr>
  </property>
  <property fmtid="{D5CDD505-2E9C-101B-9397-08002B2CF9AE}" pid="9" name="MSIP_Label_990b6c4a-2c3e-4e80-8213-aa7256d4441d_ContentBits">
    <vt:lpwstr>1</vt:lpwstr>
  </property>
  <property fmtid="{D5CDD505-2E9C-101B-9397-08002B2CF9AE}" pid="10" name="MediaServiceImageTags">
    <vt:lpwstr/>
  </property>
</Properties>
</file>